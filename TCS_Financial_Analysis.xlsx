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1d0cd3d41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Overview" sheetId="1" r:id="R23a2d17277b1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12aa1aaa44779" /><Relationship Type="http://schemas.openxmlformats.org/officeDocument/2006/relationships/theme" Target="/xl/theme/theme1.xml" Id="R568be51912ab4fc1" /><Relationship Type="http://schemas.openxmlformats.org/officeDocument/2006/relationships/sharedStrings" Target="/xl/sharedStrings.xml" Id="R4a2fb9929d7a49a2" /><Relationship Type="http://schemas.openxmlformats.org/officeDocument/2006/relationships/worksheet" Target="/xl/worksheets/sheet1.xml" Id="R23a2d17277b143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48038a3f1944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operating profit (INR crore)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FY 2024-25</c:v>
          </c:tx>
          <c:cat>
            <c:strRef>
              <c:f>'Financial Overview'!$A$4:$A$5</c:f>
              <c:strCache>
                <c:ptCount val="0"/>
              </c:strCache>
            </c:strRef>
          </c:cat>
          <c:val>
            <c:numRef>
              <c:f>'Financial Overview'!$B$4:$B$5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FY 2025-26</c:v>
          </c:tx>
          <c:cat>
            <c:strRef>
              <c:f>'Financial Overview'!$A$4:$A$5</c:f>
              <c:strCache>
                <c:ptCount val="0"/>
              </c:strCache>
            </c:strRef>
          </c:cat>
          <c:val>
            <c:numRef>
              <c:f>'Financial Overview'!$C$4:$C$5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48038a3f1944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3c7657999743a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0" hidden="0" customWidth="1"/>
    <x:col min="3" max="3" width="18" hidden="0" customWidth="1"/>
    <x:col min="4" max="4" width="18" hidden="0" customWidth="1"/>
    <x:col min="5" max="5" width="45" hidden="0" customWidth="1"/>
  </x:cols>
  <x:sheetData>
    <x:row r="1">
      <x:c r="A1" s="5" t="str">
        <x:v>TCS | CONSOLIDATED FINANCIAL ANALYSIS</x:v>
      </x:c>
      <x:c r="B1" s="5"/>
      <x:c r="C1" s="5"/>
      <x:c r="D1" s="5"/>
      <x:c r="E1" s="5"/>
    </x:row>
    <x:row r="3">
      <x:c r="A3" s="5" t="str">
        <x:v>Metric</x:v>
      </x:c>
      <x:c r="B3" s="5" t="str">
        <x:v>FY 2024-25</x:v>
      </x:c>
      <x:c r="C3" s="5" t="str">
        <x:v>FY 2025-26</x:v>
      </x:c>
      <x:c r="D3" s="5" t="str">
        <x:v>YoY Change</x:v>
      </x:c>
      <x:c r="E3" s="5" t="str">
        <x:v>Unit / Interpretation</x:v>
      </x:c>
    </x:row>
    <x:row r="4">
      <x:c r="A4" t="str">
        <x:v>Revenue from operations</x:v>
      </x:c>
      <x:c r="B4" t="n">
        <x:v>255324</x:v>
      </x:c>
      <x:c r="C4" t="n">
        <x:v>267021</x:v>
      </x:c>
      <x:c r="D4" s="2" t="n">
        <x:f>IFERROR(C4/B4-1,0)</x:f>
        <x:v>0.04581237956478823</x:v>
      </x:c>
      <x:c r="E4" t="str">
        <x:v>INR crore</x:v>
      </x:c>
    </x:row>
    <x:row r="5">
      <x:c r="A5" t="str">
        <x:v>Operating profit</x:v>
      </x:c>
      <x:c r="B5" t="n">
        <x:v>62165</x:v>
      </x:c>
      <x:c r="C5" t="n">
        <x:v>66838</x:v>
      </x:c>
      <x:c r="D5" s="2" t="n">
        <x:f>IFERROR(C5/B5-1,0)</x:f>
        <x:v>0.07517091611035154</x:v>
      </x:c>
      <x:c r="E5" t="str">
        <x:v>INR crore</x:v>
      </x:c>
    </x:row>
    <x:row r="6">
      <x:c r="A6" t="str">
        <x:v>Operating margin</x:v>
      </x:c>
      <x:c r="B6" s="2" t="n">
        <x:f>B5/B4</x:f>
        <x:v>0.24347495730914445</x:v>
      </x:c>
      <x:c r="C6" s="2" t="n">
        <x:f>C5/C4</x:f>
        <x:v>0.25030990071941905</x:v>
      </x:c>
      <x:c r="D6" s="2"/>
      <x:c r="E6" t="str">
        <x:v>% of revenue</x:v>
      </x:c>
    </x:row>
    <x:row r="7">
      <x:c r="A7" t="str">
        <x:v>Earnings per share</x:v>
      </x:c>
      <x:c r="B7" t="n">
        <x:v>134.19</x:v>
      </x:c>
      <x:c r="C7" t="n">
        <x:v>145.99</x:v>
      </x:c>
      <x:c r="D7" s="2" t="n">
        <x:f>IFERROR(C7/B7-1,0)</x:f>
        <x:v>0.08793501751248245</x:v>
      </x:c>
      <x:c r="E7" t="str">
        <x:v>INR per share</x:v>
      </x:c>
    </x:row>
    <x:row r="8">
      <x:c r="A8" t="str">
        <x:v>Operating cash flow</x:v>
      </x:c>
      <x:c r="B8" t="n">
        <x:v>48908</x:v>
      </x:c>
      <x:c r="C8" t="n">
        <x:v>52094</x:v>
      </x:c>
      <x:c r="D8" s="2" t="n">
        <x:f>IFERROR(C8/B8-1,0)</x:f>
        <x:v>0.06514271693792417</x:v>
      </x:c>
      <x:c r="E8" t="str">
        <x:v>INR crore</x:v>
      </x:c>
    </x:row>
    <x:row r="9">
      <x:c r="A9" t="str">
        <x:v>Cash conversion</x:v>
      </x:c>
      <x:c r="B9" s="2" t="n">
        <x:f>B8/B5</x:f>
        <x:v>0.7867449529478002</x:v>
      </x:c>
      <x:c r="C9" s="2" t="n">
        <x:f>C8/C5</x:f>
        <x:v>0.7794069242047936</x:v>
      </x:c>
      <x:c r="D9"/>
      <x:c r="E9" t="str">
        <x:v>Operating cash flow / operating profit (proxy)</x:v>
      </x:c>
    </x:row>
    <x:row r="11">
      <x:c r="A11" s="5" t="str">
        <x:v>KEY INSIGHTS</x:v>
      </x:c>
      <x:c r="B11" s="5" t="str">
        <x:v>ANALYST INTERPRETATION</x:v>
      </x:c>
    </x:row>
    <x:row r="12">
      <x:c r="A12" t="str">
        <x:v>Revenue growth</x:v>
      </x:c>
      <x:c r="B12" t="str">
        <x:v>FY26 revenue grew 4.6% in reported INR; constant-currency revenue declined 2.4% according to TCS.</x:v>
      </x:c>
    </x:row>
    <x:row r="13">
      <x:c r="A13" t="str">
        <x:v>Margin</x:v>
      </x:c>
      <x:c r="B13" t="str">
        <x:v>Operating margin rose from about 24.3% to 25.0%, indicating better operating efficiency.</x:v>
      </x:c>
    </x:row>
    <x:row r="14">
      <x:c r="A14" t="str">
        <x:v>Earnings</x:v>
      </x:c>
      <x:c r="B14" t="str">
        <x:v>EPS rose from INR 134.19 to INR 145.99; per-share earnings increased.</x:v>
      </x:c>
    </x:row>
    <x:row r="15">
      <x:c r="A15" t="str">
        <x:v>Cash generation</x:v>
      </x:c>
      <x:c r="B15" t="str">
        <x:v>Operating cash flow rose, supporting the earnings quality assessment.</x:v>
      </x:c>
    </x:row>
    <x:row r="16">
      <x:c r="A16" t="str">
        <x:v>Caution</x:v>
      </x:c>
      <x:c r="B16" t="str">
        <x:v>This is a selected-metrics comparison, not a complete audit of balance sheet or cash flow line items.</x:v>
      </x:c>
    </x:row>
    <x:row r="18">
      <x:c r="A18" t="str">
        <x:v>SOURCE</x:v>
      </x:c>
      <x:c r="B18" t="str">
        <x:v>TCS Integrated Annual Report FY 2025-26, Financial Capital charts</x:v>
      </x:c>
    </x:row>
    <x:row r="19">
      <x:c r="B19" t="str">
        <x:v>https://www.tcs.com/content/dam/tcs/investor-relations/financial-statements/2025-26/ar/annual-report-2025-2026.pdf</x:v>
      </x:c>
    </x:row>
  </x:sheetData>
  <x:pageMargins left="0.7" right="0.7" top="0.75" bottom="0.75" header="0.3" footer="0.3"/>
  <x:drawing xmlns:r="http://schemas.openxmlformats.org/officeDocument/2006/relationships" r:id="Re03c7657999743ae"/>
</x:worksheet>
</file>